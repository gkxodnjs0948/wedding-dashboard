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7b9434ced2e7eb/Desktop/Dashboard2/"/>
    </mc:Choice>
  </mc:AlternateContent>
  <xr:revisionPtr revIDLastSave="10" documentId="13_ncr:1_{FB54C0D0-E11F-4F23-BAB8-F634AFAD6CDB}" xr6:coauthVersionLast="47" xr6:coauthVersionMax="47" xr10:uidLastSave="{06751420-16A1-4E23-8E70-68E749B2B964}"/>
  <bookViews>
    <workbookView xWindow="9510" yWindow="0" windowWidth="9780" windowHeight="10170" xr2:uid="{70610B61-E552-45CF-96BC-D4C8A8EB83F3}"/>
  </bookViews>
  <sheets>
    <sheet name="예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22" i="1"/>
  <c r="D5" i="1"/>
  <c r="I5" i="1"/>
  <c r="D24" i="1" l="1"/>
</calcChain>
</file>

<file path=xl/sharedStrings.xml><?xml version="1.0" encoding="utf-8"?>
<sst xmlns="http://schemas.openxmlformats.org/spreadsheetml/2006/main" count="43" uniqueCount="37">
  <si>
    <t>예산</t>
    <phoneticPr fontId="2" type="noConversion"/>
  </si>
  <si>
    <t>구분</t>
    <phoneticPr fontId="2" type="noConversion"/>
  </si>
  <si>
    <t>대분류</t>
    <phoneticPr fontId="2" type="noConversion"/>
  </si>
  <si>
    <t>소분류</t>
    <phoneticPr fontId="2" type="noConversion"/>
  </si>
  <si>
    <t>전체 예산</t>
    <phoneticPr fontId="2" type="noConversion"/>
  </si>
  <si>
    <t>결혼식</t>
    <phoneticPr fontId="2" type="noConversion"/>
  </si>
  <si>
    <t>집</t>
    <phoneticPr fontId="2" type="noConversion"/>
  </si>
  <si>
    <t>&lt;결혼 비용&gt;</t>
    <phoneticPr fontId="2" type="noConversion"/>
  </si>
  <si>
    <t>합 계</t>
    <phoneticPr fontId="2" type="noConversion"/>
  </si>
  <si>
    <t>상견례</t>
    <phoneticPr fontId="2" type="noConversion"/>
  </si>
  <si>
    <t>웨딩홀</t>
    <phoneticPr fontId="2" type="noConversion"/>
  </si>
  <si>
    <t>스드메</t>
    <phoneticPr fontId="2" type="noConversion"/>
  </si>
  <si>
    <t>의류</t>
    <phoneticPr fontId="2" type="noConversion"/>
  </si>
  <si>
    <t>신랑 예복</t>
    <phoneticPr fontId="2" type="noConversion"/>
  </si>
  <si>
    <t>혼주 한복</t>
    <phoneticPr fontId="2" type="noConversion"/>
  </si>
  <si>
    <t>혼주 양복</t>
    <phoneticPr fontId="2" type="noConversion"/>
  </si>
  <si>
    <t>예물</t>
    <phoneticPr fontId="2" type="noConversion"/>
  </si>
  <si>
    <t>웨딩 밴드</t>
    <phoneticPr fontId="2" type="noConversion"/>
  </si>
  <si>
    <t>기타</t>
    <phoneticPr fontId="2" type="noConversion"/>
  </si>
  <si>
    <t>웨딩 슈즈</t>
    <phoneticPr fontId="2" type="noConversion"/>
  </si>
  <si>
    <t>청첩장 모임</t>
    <phoneticPr fontId="2" type="noConversion"/>
  </si>
  <si>
    <t>식대</t>
    <phoneticPr fontId="2" type="noConversion"/>
  </si>
  <si>
    <t>식사</t>
    <phoneticPr fontId="2" type="noConversion"/>
  </si>
  <si>
    <t>선물</t>
    <phoneticPr fontId="2" type="noConversion"/>
  </si>
  <si>
    <t>비고</t>
    <phoneticPr fontId="2" type="noConversion"/>
  </si>
  <si>
    <t>답례품</t>
    <phoneticPr fontId="2" type="noConversion"/>
  </si>
  <si>
    <t>&lt;결혼식&gt;</t>
    <phoneticPr fontId="2" type="noConversion"/>
  </si>
  <si>
    <t>&lt;집&gt;</t>
    <phoneticPr fontId="2" type="noConversion"/>
  </si>
  <si>
    <t>신혼여행</t>
    <phoneticPr fontId="2" type="noConversion"/>
  </si>
  <si>
    <t>헬퍼</t>
    <phoneticPr fontId="2" type="noConversion"/>
  </si>
  <si>
    <t>본식 스냅</t>
    <phoneticPr fontId="2" type="noConversion"/>
  </si>
  <si>
    <t>대관</t>
    <phoneticPr fontId="2" type="noConversion"/>
  </si>
  <si>
    <t>헤어 변형</t>
    <phoneticPr fontId="2" type="noConversion"/>
  </si>
  <si>
    <t>부케+부토니아</t>
    <phoneticPr fontId="2" type="noConversion"/>
  </si>
  <si>
    <t>혼주 메이크업</t>
    <phoneticPr fontId="2" type="noConversion"/>
  </si>
  <si>
    <t>축가</t>
    <phoneticPr fontId="2" type="noConversion"/>
  </si>
  <si>
    <t>완료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</si>
</sst>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AE72-DE38-4824-8283-15052FDBEE05}">
  <dimension ref="A3:K27"/>
  <sheetViews>
    <sheetView showGridLines="0" tabSelected="1" topLeftCell="C1" zoomScale="85" zoomScaleNormal="85" workbookViewId="0">
      <selection activeCell="E8" sqref="E8"/>
    </sheetView>
  </sheetViews>
  <sheetFormatPr defaultRowHeight="17" x14ac:dyDescent="0.45"/>
  <cols>
    <col min="1" max="1" width="8.58203125" style="2" customWidth="1"/>
    <col min="2" max="2" width="15.58203125" style="2" customWidth="1"/>
    <col min="3" max="3" width="16.83203125" style="2" bestFit="1" customWidth="1"/>
    <col min="4" max="4" width="15.58203125" style="2" customWidth="1"/>
    <col min="5" max="5" width="30.58203125" style="2" customWidth="1"/>
    <col min="6" max="10" width="15.58203125" style="2" customWidth="1"/>
    <col min="11" max="11" width="15.58203125" style="1" customWidth="1"/>
  </cols>
  <sheetData>
    <row r="3" spans="1:9" x14ac:dyDescent="0.45">
      <c r="A3" s="7" t="s">
        <v>26</v>
      </c>
      <c r="G3" s="7" t="s">
        <v>7</v>
      </c>
    </row>
    <row r="4" spans="1:9" x14ac:dyDescent="0.45">
      <c r="A4" s="6" t="s">
        <v>1</v>
      </c>
      <c r="B4" s="6" t="s">
        <v>2</v>
      </c>
      <c r="C4" s="6" t="s">
        <v>3</v>
      </c>
      <c r="D4" s="6" t="s">
        <v>0</v>
      </c>
      <c r="E4" s="6" t="s">
        <v>24</v>
      </c>
      <c r="G4" s="6" t="s">
        <v>5</v>
      </c>
      <c r="H4" s="6" t="s">
        <v>6</v>
      </c>
      <c r="I4" s="6" t="s">
        <v>4</v>
      </c>
    </row>
    <row r="5" spans="1:9" x14ac:dyDescent="0.45">
      <c r="A5" s="10">
        <v>1</v>
      </c>
      <c r="B5" s="20" t="s">
        <v>9</v>
      </c>
      <c r="C5" s="10" t="s">
        <v>22</v>
      </c>
      <c r="D5" s="11">
        <f>55000*8</f>
        <v>440000</v>
      </c>
      <c r="E5" s="10" t="s">
        <v>36</v>
      </c>
      <c r="G5" s="4">
        <v>35000000</v>
      </c>
      <c r="H5" s="4">
        <v>15000000</v>
      </c>
      <c r="I5" s="5">
        <f>SUM(G5:H5)</f>
        <v>50000000</v>
      </c>
    </row>
    <row r="6" spans="1:9" x14ac:dyDescent="0.45">
      <c r="A6" s="10">
        <v>2</v>
      </c>
      <c r="B6" s="21"/>
      <c r="C6" s="10" t="s">
        <v>23</v>
      </c>
      <c r="D6" s="11">
        <v>182000</v>
      </c>
      <c r="E6" s="10" t="s">
        <v>36</v>
      </c>
    </row>
    <row r="7" spans="1:9" x14ac:dyDescent="0.45">
      <c r="A7" s="8">
        <v>3</v>
      </c>
      <c r="B7" s="17" t="s">
        <v>10</v>
      </c>
      <c r="C7" s="8" t="s">
        <v>31</v>
      </c>
      <c r="D7" s="9">
        <v>5500000</v>
      </c>
      <c r="E7" s="8" t="s">
        <v>36</v>
      </c>
    </row>
    <row r="8" spans="1:9" x14ac:dyDescent="0.45">
      <c r="A8" s="8">
        <v>4</v>
      </c>
      <c r="B8" s="18"/>
      <c r="C8" s="8" t="s">
        <v>21</v>
      </c>
      <c r="D8" s="9">
        <f>68000*200</f>
        <v>13600000</v>
      </c>
      <c r="E8" s="8" t="s">
        <v>36</v>
      </c>
    </row>
    <row r="9" spans="1:9" x14ac:dyDescent="0.45">
      <c r="A9" s="8">
        <v>5</v>
      </c>
      <c r="B9" s="19"/>
      <c r="C9" s="8" t="s">
        <v>34</v>
      </c>
      <c r="D9" s="9">
        <v>360000</v>
      </c>
      <c r="E9" s="8"/>
    </row>
    <row r="10" spans="1:9" x14ac:dyDescent="0.45">
      <c r="A10" s="3">
        <v>6</v>
      </c>
      <c r="B10" s="22" t="s">
        <v>11</v>
      </c>
      <c r="C10" s="3" t="s">
        <v>11</v>
      </c>
      <c r="D10" s="4">
        <v>2400000</v>
      </c>
      <c r="E10" s="3"/>
    </row>
    <row r="11" spans="1:9" x14ac:dyDescent="0.45">
      <c r="A11" s="3">
        <v>7</v>
      </c>
      <c r="B11" s="15"/>
      <c r="C11" s="3" t="s">
        <v>32</v>
      </c>
      <c r="D11" s="4">
        <v>300000</v>
      </c>
      <c r="E11" s="3"/>
    </row>
    <row r="12" spans="1:9" x14ac:dyDescent="0.45">
      <c r="A12" s="3">
        <v>8</v>
      </c>
      <c r="B12" s="14" t="s">
        <v>12</v>
      </c>
      <c r="C12" s="3" t="s">
        <v>13</v>
      </c>
      <c r="D12" s="4">
        <v>600000</v>
      </c>
      <c r="E12" s="3"/>
    </row>
    <row r="13" spans="1:9" x14ac:dyDescent="0.45">
      <c r="A13" s="3">
        <v>9</v>
      </c>
      <c r="B13" s="22"/>
      <c r="C13" s="3" t="s">
        <v>14</v>
      </c>
      <c r="D13" s="4">
        <v>1100000</v>
      </c>
      <c r="E13" s="3"/>
    </row>
    <row r="14" spans="1:9" x14ac:dyDescent="0.45">
      <c r="A14" s="3">
        <v>10</v>
      </c>
      <c r="B14" s="22"/>
      <c r="C14" s="3" t="s">
        <v>15</v>
      </c>
      <c r="D14" s="4">
        <v>800000</v>
      </c>
      <c r="E14" s="3"/>
    </row>
    <row r="15" spans="1:9" x14ac:dyDescent="0.45">
      <c r="A15" s="10">
        <v>11</v>
      </c>
      <c r="B15" s="10" t="s">
        <v>16</v>
      </c>
      <c r="C15" s="10" t="s">
        <v>17</v>
      </c>
      <c r="D15" s="11">
        <v>2250000</v>
      </c>
      <c r="E15" s="12"/>
    </row>
    <row r="16" spans="1:9" x14ac:dyDescent="0.45">
      <c r="A16" s="3">
        <v>12</v>
      </c>
      <c r="B16" s="14" t="s">
        <v>5</v>
      </c>
      <c r="C16" s="3" t="s">
        <v>30</v>
      </c>
      <c r="D16" s="4">
        <v>500000</v>
      </c>
      <c r="E16" s="3"/>
    </row>
    <row r="17" spans="1:5" x14ac:dyDescent="0.45">
      <c r="A17" s="3">
        <v>13</v>
      </c>
      <c r="B17" s="22"/>
      <c r="C17" s="3" t="s">
        <v>19</v>
      </c>
      <c r="D17" s="4">
        <v>20000</v>
      </c>
      <c r="E17" s="3"/>
    </row>
    <row r="18" spans="1:5" x14ac:dyDescent="0.45">
      <c r="A18" s="3">
        <v>14</v>
      </c>
      <c r="B18" s="22"/>
      <c r="C18" s="3" t="s">
        <v>33</v>
      </c>
      <c r="D18" s="4">
        <v>150000</v>
      </c>
      <c r="E18" s="3"/>
    </row>
    <row r="19" spans="1:5" x14ac:dyDescent="0.45">
      <c r="A19" s="3">
        <v>15</v>
      </c>
      <c r="B19" s="22"/>
      <c r="C19" s="3" t="s">
        <v>35</v>
      </c>
      <c r="D19" s="4">
        <v>400000</v>
      </c>
      <c r="E19" s="3"/>
    </row>
    <row r="20" spans="1:5" x14ac:dyDescent="0.45">
      <c r="A20" s="3">
        <v>16</v>
      </c>
      <c r="B20" s="15"/>
      <c r="C20" s="3" t="s">
        <v>29</v>
      </c>
      <c r="D20" s="4">
        <v>550000</v>
      </c>
      <c r="E20" s="3"/>
    </row>
    <row r="21" spans="1:5" x14ac:dyDescent="0.45">
      <c r="A21" s="3">
        <v>17</v>
      </c>
      <c r="B21" s="3" t="s">
        <v>28</v>
      </c>
      <c r="C21" s="3" t="s">
        <v>28</v>
      </c>
      <c r="D21" s="4">
        <v>5000000</v>
      </c>
      <c r="E21" s="3"/>
    </row>
    <row r="22" spans="1:5" x14ac:dyDescent="0.45">
      <c r="A22" s="3">
        <v>18</v>
      </c>
      <c r="B22" s="14" t="s">
        <v>18</v>
      </c>
      <c r="C22" s="3" t="s">
        <v>20</v>
      </c>
      <c r="D22" s="4">
        <f>44*45000</f>
        <v>1980000</v>
      </c>
      <c r="E22" s="13"/>
    </row>
    <row r="23" spans="1:5" x14ac:dyDescent="0.45">
      <c r="A23" s="3">
        <v>19</v>
      </c>
      <c r="B23" s="15"/>
      <c r="C23" s="3" t="s">
        <v>25</v>
      </c>
      <c r="D23" s="4">
        <v>700000</v>
      </c>
      <c r="E23" s="3"/>
    </row>
    <row r="24" spans="1:5" x14ac:dyDescent="0.45">
      <c r="A24" s="16" t="s">
        <v>8</v>
      </c>
      <c r="B24" s="16"/>
      <c r="C24" s="16"/>
      <c r="D24" s="4">
        <f>SUM(D5:D23)</f>
        <v>36832000</v>
      </c>
      <c r="E24" s="3"/>
    </row>
    <row r="27" spans="1:5" x14ac:dyDescent="0.45">
      <c r="A27" s="7" t="s">
        <v>27</v>
      </c>
    </row>
  </sheetData>
  <mergeCells count="7">
    <mergeCell ref="B22:B23"/>
    <mergeCell ref="A24:C24"/>
    <mergeCell ref="B7:B9"/>
    <mergeCell ref="B5:B6"/>
    <mergeCell ref="B12:B14"/>
    <mergeCell ref="B16:B20"/>
    <mergeCell ref="B10:B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태원 하</dc:creator>
  <cp:lastModifiedBy>태원 하</cp:lastModifiedBy>
  <dcterms:created xsi:type="dcterms:W3CDTF">2026-01-04T05:23:43Z</dcterms:created>
  <dcterms:modified xsi:type="dcterms:W3CDTF">2026-02-22T11:22:53Z</dcterms:modified>
</cp:coreProperties>
</file>